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Excel\"/>
    </mc:Choice>
  </mc:AlternateContent>
  <xr:revisionPtr revIDLastSave="0" documentId="8_{BBA822DD-EA34-4F8D-A9D9-7EF4418996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fit Model" sheetId="1" r:id="rId1"/>
  </sheets>
  <definedNames>
    <definedName name="coin_cuttype" localSheetId="0" hidden="1">1</definedName>
    <definedName name="coin_dualtol" localSheetId="0" hidden="1">0.0000001</definedName>
    <definedName name="coin_heurs" localSheetId="0" hidden="1">1</definedName>
    <definedName name="coin_integerpresolve" localSheetId="0" hidden="1">1</definedName>
    <definedName name="coin_presolve1" localSheetId="0" hidden="1">1</definedName>
    <definedName name="coin_primaltol" localSheetId="0" hidden="1">0.0000001</definedName>
    <definedName name="solver_cvg" localSheetId="0" hidden="1">0.0001</definedName>
    <definedName name="solver_drv" localSheetId="0" hidden="1">2</definedName>
    <definedName name="solver_eng" localSheetId="0" hidden="1">0</definedName>
    <definedName name="solver_est" localSheetId="0" hidden="1">1</definedName>
    <definedName name="solver_itr" localSheetId="0" hidden="1">2147483647</definedName>
    <definedName name="solver_kiv" localSheetId="0" hidden="1">2E+30</definedName>
    <definedName name="solver_lhs1" localSheetId="0" hidden="1">'Profit Model'!$I$5:$I$10</definedName>
    <definedName name="solver_lhs2" localSheetId="0" hidden="1">'Profit Model'!$I$5:$I$10</definedName>
    <definedName name="solver_lhs3" localSheetId="0" hidden="1">'Profit Model'!$I$5:$I$10</definedName>
    <definedName name="solver_lhs4" localSheetId="0" hidden="1">'Profit Model'!$L$5:$L$10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0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hs1" localSheetId="0" hidden="1">140</definedName>
    <definedName name="solver_rhs2" localSheetId="0" hidden="1">'Profit Model'!#REF!</definedName>
    <definedName name="solver_rhs3" localSheetId="0" hidden="1">'Profit Model'!$W$5:$W$10</definedName>
    <definedName name="solver_rhs4" localSheetId="0" hidden="1">0.4</definedName>
    <definedName name="solver_rlx" localSheetId="0" hidden="1">0</definedName>
    <definedName name="solver_rxc4" localSheetId="0" hidden="1">1</definedName>
    <definedName name="solver_rxv" localSheetId="0" hidden="1">1</definedName>
    <definedName name="solver_scl" localSheetId="0" hidden="1">0</definedName>
    <definedName name="solver_sho" localSheetId="0" hidden="1">2</definedName>
    <definedName name="solver_tim" localSheetId="0" hidden="1">2147483647</definedName>
    <definedName name="solver_tms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K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K23" i="1"/>
  <c r="K24" i="1"/>
  <c r="K25" i="1"/>
  <c r="K26" i="1"/>
  <c r="K27" i="1"/>
  <c r="K28" i="1"/>
  <c r="K29" i="1"/>
  <c r="K30" i="1"/>
  <c r="K31" i="1"/>
  <c r="K32" i="1"/>
  <c r="K33" i="1"/>
  <c r="K3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H5" i="1"/>
  <c r="N31" i="1" l="1"/>
  <c r="N8" i="1"/>
  <c r="B38" i="1"/>
  <c r="N7" i="1"/>
  <c r="N6" i="1"/>
  <c r="N27" i="1"/>
  <c r="N10" i="1"/>
  <c r="N23" i="1"/>
  <c r="N22" i="1"/>
  <c r="N20" i="1"/>
  <c r="N33" i="1"/>
  <c r="N19" i="1"/>
  <c r="N34" i="1"/>
  <c r="N32" i="1"/>
  <c r="N30" i="1"/>
  <c r="N29" i="1"/>
  <c r="N28" i="1"/>
  <c r="N26" i="1"/>
  <c r="N25" i="1"/>
  <c r="N24" i="1"/>
  <c r="N21" i="1"/>
  <c r="N18" i="1"/>
  <c r="N17" i="1"/>
  <c r="N9" i="1"/>
  <c r="B40" i="1"/>
  <c r="N16" i="1"/>
  <c r="N15" i="1"/>
  <c r="N14" i="1"/>
  <c r="N13" i="1"/>
  <c r="N12" i="1"/>
  <c r="N11" i="1"/>
  <c r="M5" i="1"/>
  <c r="L5" i="1"/>
  <c r="N5" i="1" l="1"/>
  <c r="B42" i="1" s="1"/>
  <c r="Q6" i="1" s="1"/>
</calcChain>
</file>

<file path=xl/sharedStrings.xml><?xml version="1.0" encoding="utf-8"?>
<sst xmlns="http://schemas.openxmlformats.org/spreadsheetml/2006/main" count="175" uniqueCount="104">
  <si>
    <t>RW145#</t>
  </si>
  <si>
    <t>27/9/2025</t>
  </si>
  <si>
    <t>49BPT#</t>
  </si>
  <si>
    <t>20/9/2025</t>
  </si>
  <si>
    <t>ZP877</t>
  </si>
  <si>
    <t>30/9/2025</t>
  </si>
  <si>
    <t>25/9/2025</t>
  </si>
  <si>
    <t>RW145BLACK</t>
  </si>
  <si>
    <t>kaftan#86</t>
  </si>
  <si>
    <t>28/9/2025</t>
  </si>
  <si>
    <t>Order date</t>
  </si>
  <si>
    <t>Company</t>
  </si>
  <si>
    <t>Style no.</t>
  </si>
  <si>
    <t>Quantity</t>
  </si>
  <si>
    <t>Delivery Date</t>
  </si>
  <si>
    <t>Ny apparels</t>
  </si>
  <si>
    <t>Meenu creations</t>
  </si>
  <si>
    <t>Colonel exports</t>
  </si>
  <si>
    <t xml:space="preserve">Ny apparels </t>
  </si>
  <si>
    <t>Total Revenue</t>
  </si>
  <si>
    <t>Margin</t>
  </si>
  <si>
    <t>Total Profit</t>
  </si>
  <si>
    <t>Making Cost</t>
  </si>
  <si>
    <t>Making Charge</t>
  </si>
  <si>
    <t>Total Making Cost</t>
  </si>
  <si>
    <t>Min/Piece</t>
  </si>
  <si>
    <t>Total Minutes</t>
  </si>
  <si>
    <t>15-11-2025</t>
  </si>
  <si>
    <t>08-12-2025</t>
  </si>
  <si>
    <t>Threadline</t>
  </si>
  <si>
    <t>30-11-2025</t>
  </si>
  <si>
    <t>Meenu Creations</t>
  </si>
  <si>
    <t>FN810</t>
  </si>
  <si>
    <t>02-11-2025</t>
  </si>
  <si>
    <t>16-11-2025</t>
  </si>
  <si>
    <t>Ny Apparels</t>
  </si>
  <si>
    <t>10-11-2025</t>
  </si>
  <si>
    <t>24-11-2025</t>
  </si>
  <si>
    <t>Vastra India</t>
  </si>
  <si>
    <t>05-12-2025</t>
  </si>
  <si>
    <t>Urban Loom</t>
  </si>
  <si>
    <t>SL211</t>
  </si>
  <si>
    <t>11-11-2025</t>
  </si>
  <si>
    <t>29-11-2025</t>
  </si>
  <si>
    <t>DR794</t>
  </si>
  <si>
    <t>05-11-2025</t>
  </si>
  <si>
    <t>19-11-2025</t>
  </si>
  <si>
    <t>Stitch Craft</t>
  </si>
  <si>
    <t>09-11-2025</t>
  </si>
  <si>
    <t>04-11-2025</t>
  </si>
  <si>
    <t>KP125</t>
  </si>
  <si>
    <t>Colonel Exports</t>
  </si>
  <si>
    <t>07-11-2025</t>
  </si>
  <si>
    <t>27-11-2025</t>
  </si>
  <si>
    <t>08-11-2025</t>
  </si>
  <si>
    <t>01-12-2025</t>
  </si>
  <si>
    <t>01-11-2025</t>
  </si>
  <si>
    <t>21-11-2025</t>
  </si>
  <si>
    <t>02-12-2025</t>
  </si>
  <si>
    <t>DR521</t>
  </si>
  <si>
    <t>12-11-2025</t>
  </si>
  <si>
    <t>23-11-2025</t>
  </si>
  <si>
    <t>03-12-2025</t>
  </si>
  <si>
    <t>06-11-2025</t>
  </si>
  <si>
    <t>13-11-2025</t>
  </si>
  <si>
    <t>SL697</t>
  </si>
  <si>
    <t>KP128#</t>
  </si>
  <si>
    <t>ZP966</t>
  </si>
  <si>
    <t>RW168BLACK</t>
  </si>
  <si>
    <t>SL589#</t>
  </si>
  <si>
    <t>RW955BLACK</t>
  </si>
  <si>
    <t>ZP311#</t>
  </si>
  <si>
    <t>DR304#</t>
  </si>
  <si>
    <t>KT194BLACK</t>
  </si>
  <si>
    <t>SL918#</t>
  </si>
  <si>
    <t>SL342#</t>
  </si>
  <si>
    <t>SLK778</t>
  </si>
  <si>
    <t>ZP642#</t>
  </si>
  <si>
    <t>KP771WASH</t>
  </si>
  <si>
    <t>ZP844PRINT</t>
  </si>
  <si>
    <t>KP902DENIM</t>
  </si>
  <si>
    <t>LN522SOLID</t>
  </si>
  <si>
    <t>HL403PRINT</t>
  </si>
  <si>
    <t>CT611DENIM</t>
  </si>
  <si>
    <t>WS709SOLID</t>
  </si>
  <si>
    <t>Price Multiplier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</si>
  <si>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</si>
  <si>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</si>
  <si>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</si>
  <si>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</si>
  <si>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</si>
  <si>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</si>
  <si>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</si>
  <si>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</si>
  <si>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</si>
  <si>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</si>
  <si>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</si>
  <si>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</si>
  <si>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</si>
  <si>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</si>
  <si>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Descriptive Statistics</t>
  </si>
  <si>
    <t>KPI</t>
  </si>
  <si>
    <t>Price Sensitivity Table</t>
  </si>
  <si>
    <t>Order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</si>
</sst>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dd/mm/yy;@"/>
  </numFmts>
  <fonts count="1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  <font>
      <b/>
      <sz val="10"/>
      <color rgb="FF000000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2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1" applyFont="1" applyAlignment="1">
      <alignment horizontal="center"/>
    </xf>
    <xf numFmtId="0" fontId="5" fillId="0" borderId="0" xfId="0" applyFont="1"/>
    <xf numFmtId="0" fontId="7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/>
    </xf>
  </cellXfs>
  <cellStyles count="3">
    <cellStyle name="Normal" xfId="0" builtinId="0"/>
    <cellStyle name="Normal 2" xfId="2" xr:uid="{1BD93374-A016-489E-A685-E9673FA0D2F7}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5638BA-A869-4D00-9AA0-EEF7DBABDCDA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11917652187144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4:U142"/>
  <sheetViews>
    <sheetView tabSelected="1" zoomScale="55" workbookViewId="0">
      <selection activeCell="K43" sqref="K43"/>
    </sheetView>
  </sheetViews>
  <sheetFormatPr defaultColWidth="14.44140625" defaultRowHeight="15.75" customHeight="1" x14ac:dyDescent="0.3"/>
  <cols>
    <col min="1" max="1" width="20" style="3" customWidth="1"/>
    <col min="2" max="2" width="14.44140625" style="3" customWidth="1"/>
    <col min="3" max="3" width="16.5546875" style="3" customWidth="1"/>
    <col min="4" max="4" width="17.6640625" style="3" customWidth="1"/>
    <col min="5" max="5" width="14.44140625" style="3"/>
    <col min="6" max="7" width="12.5546875" style="3" customWidth="1"/>
    <col min="8" max="8" width="11.6640625" style="3" customWidth="1"/>
    <col min="9" max="9" width="13.5546875" style="3" customWidth="1"/>
    <col min="10" max="10" width="13.21875" style="3" customWidth="1"/>
    <col min="11" max="11" width="15.88671875" style="3" customWidth="1"/>
    <col min="12" max="12" width="14.44140625" style="3"/>
    <col min="13" max="13" width="16.6640625" style="3" customWidth="1"/>
    <col min="14" max="15" width="14.44140625" style="3"/>
    <col min="16" max="16" width="19.5546875" style="3" customWidth="1"/>
    <col min="17" max="17" width="18.44140625" style="3" customWidth="1"/>
    <col min="18" max="18" width="14.44140625" style="3"/>
    <col min="19" max="19" width="24.44140625" style="3" customWidth="1"/>
    <col min="20" max="20" width="17.88671875" style="3" customWidth="1"/>
    <col min="21" max="16384" width="14.44140625" style="3"/>
  </cols>
  <sheetData>
    <row r="4" spans="1:21" ht="40.799999999999997" customHeight="1" x14ac:dyDescent="0.3">
      <c r="A4" s="9" t="s">
        <v>10</v>
      </c>
      <c r="B4" s="9" t="s">
        <v>14</v>
      </c>
      <c r="C4" s="7" t="s">
        <v>11</v>
      </c>
      <c r="D4" s="7" t="s">
        <v>12</v>
      </c>
      <c r="E4" s="7" t="s">
        <v>13</v>
      </c>
      <c r="F4" s="9" t="s">
        <v>22</v>
      </c>
      <c r="G4" s="7" t="s">
        <v>25</v>
      </c>
      <c r="H4" s="9" t="s">
        <v>26</v>
      </c>
      <c r="I4" s="9" t="s">
        <v>23</v>
      </c>
      <c r="J4" s="9" t="s">
        <v>14</v>
      </c>
      <c r="K4" s="9" t="s">
        <v>19</v>
      </c>
      <c r="L4" s="7" t="s">
        <v>20</v>
      </c>
      <c r="M4" s="9" t="s">
        <v>24</v>
      </c>
      <c r="N4" s="9" t="s">
        <v>103</v>
      </c>
      <c r="P4" s="23" t="s">
        <v>102</v>
      </c>
      <c r="Q4" s="23"/>
      <c r="S4" s="27"/>
      <c r="U4" s="8"/>
    </row>
    <row r="5" spans="1:21" ht="15.75" customHeight="1" x14ac:dyDescent="0.3">
      <c r="A5" s="5">
        <v>45970</v>
      </c>
      <c r="B5" s="6">
        <v>45927</v>
      </c>
      <c r="C5" s="1" t="s">
        <v>15</v>
      </c>
      <c r="D5" s="1" t="s">
        <v>0</v>
      </c>
      <c r="E5" s="1">
        <v>12000</v>
      </c>
      <c r="F5" s="12">
        <v>60</v>
      </c>
      <c r="G5" s="12">
        <v>9</v>
      </c>
      <c r="H5" s="12">
        <f>E5*G5</f>
        <v>108000</v>
      </c>
      <c r="I5" s="2">
        <v>82</v>
      </c>
      <c r="J5" s="1" t="s">
        <v>1</v>
      </c>
      <c r="K5" s="13">
        <f>E5*I5*$P$142</f>
        <v>984000</v>
      </c>
      <c r="L5" s="14">
        <f>(I5-F5)/I5</f>
        <v>0.26829268292682928</v>
      </c>
      <c r="M5" s="12">
        <f t="shared" ref="M5:M34" si="0">E5*F5</f>
        <v>720000</v>
      </c>
      <c r="N5" s="13">
        <f>K5-M5</f>
        <v>264000</v>
      </c>
      <c r="P5" s="28" t="s">
        <v>85</v>
      </c>
      <c r="Q5" s="28" t="s">
        <v>21</v>
      </c>
      <c r="S5" s="13"/>
    </row>
    <row r="6" spans="1:21" ht="15.75" customHeight="1" x14ac:dyDescent="0.3">
      <c r="A6" s="5">
        <v>45971</v>
      </c>
      <c r="B6" s="6">
        <v>45928</v>
      </c>
      <c r="C6" s="1" t="s">
        <v>15</v>
      </c>
      <c r="D6" s="1" t="s">
        <v>2</v>
      </c>
      <c r="E6" s="1">
        <v>5000</v>
      </c>
      <c r="F6" s="12">
        <v>44</v>
      </c>
      <c r="G6" s="12">
        <v>8</v>
      </c>
      <c r="H6" s="12">
        <f t="shared" ref="H6:H34" si="1">E6*G6</f>
        <v>40000</v>
      </c>
      <c r="I6" s="2">
        <v>56</v>
      </c>
      <c r="J6" s="1" t="s">
        <v>3</v>
      </c>
      <c r="K6" s="13">
        <f t="shared" ref="K6:K34" si="2">E6*I6</f>
        <v>280000</v>
      </c>
      <c r="L6" s="14">
        <f t="shared" ref="L6:L34" si="3">(I6-F6)/I6</f>
        <v>0.21428571428571427</v>
      </c>
      <c r="M6" s="12">
        <f t="shared" si="0"/>
        <v>220000</v>
      </c>
      <c r="N6" s="13">
        <f t="shared" ref="N6:N34" si="4">K6-M6</f>
        <v>60000</v>
      </c>
      <c r="P6" s="4">
        <v>1</v>
      </c>
      <c r="Q6" s="8">
        <f>B42</f>
        <v>6382740</v>
      </c>
      <c r="S6" s="13"/>
    </row>
    <row r="7" spans="1:21" ht="15.75" customHeight="1" x14ac:dyDescent="0.3">
      <c r="A7" s="5">
        <v>45972</v>
      </c>
      <c r="B7" s="6">
        <v>45929</v>
      </c>
      <c r="C7" s="1" t="s">
        <v>16</v>
      </c>
      <c r="D7" s="1" t="s">
        <v>4</v>
      </c>
      <c r="E7" s="1">
        <v>16550</v>
      </c>
      <c r="F7" s="12">
        <v>57</v>
      </c>
      <c r="G7" s="12">
        <v>11</v>
      </c>
      <c r="H7" s="12">
        <f t="shared" si="1"/>
        <v>182050</v>
      </c>
      <c r="I7" s="2">
        <v>75</v>
      </c>
      <c r="J7" s="1" t="s">
        <v>5</v>
      </c>
      <c r="K7" s="13">
        <f t="shared" si="2"/>
        <v>1241250</v>
      </c>
      <c r="L7" s="14">
        <f t="shared" si="3"/>
        <v>0.24</v>
      </c>
      <c r="M7" s="12">
        <f t="shared" si="0"/>
        <v>943350</v>
      </c>
      <c r="N7" s="13">
        <f t="shared" si="4"/>
        <v>297900</v>
      </c>
      <c r="P7" s="4">
        <v>1.05</v>
      </c>
      <c r="Q7" s="8">
        <f t="dataTable" ref="Q7:Q13" dt2D="0" dtr="0" r1="P142"/>
        <v>6431940</v>
      </c>
      <c r="T7" s="8"/>
    </row>
    <row r="8" spans="1:21" ht="15.75" customHeight="1" x14ac:dyDescent="0.3">
      <c r="A8" s="5">
        <v>45973</v>
      </c>
      <c r="B8" s="6">
        <v>45930</v>
      </c>
      <c r="C8" s="1" t="s">
        <v>17</v>
      </c>
      <c r="D8" s="1" t="s">
        <v>76</v>
      </c>
      <c r="E8" s="1">
        <v>8000</v>
      </c>
      <c r="F8" s="12">
        <v>33</v>
      </c>
      <c r="G8" s="12">
        <v>7</v>
      </c>
      <c r="H8" s="12">
        <f t="shared" si="1"/>
        <v>56000</v>
      </c>
      <c r="I8" s="2">
        <v>40</v>
      </c>
      <c r="J8" s="1" t="s">
        <v>6</v>
      </c>
      <c r="K8" s="13">
        <f t="shared" si="2"/>
        <v>320000</v>
      </c>
      <c r="L8" s="14">
        <f t="shared" si="3"/>
        <v>0.17499999999999999</v>
      </c>
      <c r="M8" s="12">
        <f t="shared" si="0"/>
        <v>264000</v>
      </c>
      <c r="N8" s="13">
        <f t="shared" si="4"/>
        <v>56000</v>
      </c>
      <c r="P8" s="4">
        <v>1.1000000000000001</v>
      </c>
      <c r="Q8" s="8">
        <v>6481140</v>
      </c>
    </row>
    <row r="9" spans="1:21" ht="15.75" customHeight="1" x14ac:dyDescent="0.3">
      <c r="A9" s="5">
        <v>45974</v>
      </c>
      <c r="B9" s="6">
        <v>45931</v>
      </c>
      <c r="C9" s="1" t="s">
        <v>18</v>
      </c>
      <c r="D9" s="1" t="s">
        <v>7</v>
      </c>
      <c r="E9" s="1">
        <v>7500</v>
      </c>
      <c r="F9" s="12">
        <v>64</v>
      </c>
      <c r="G9" s="12">
        <v>10</v>
      </c>
      <c r="H9" s="12">
        <f t="shared" si="1"/>
        <v>75000</v>
      </c>
      <c r="I9" s="2">
        <v>82</v>
      </c>
      <c r="J9" s="1" t="s">
        <v>5</v>
      </c>
      <c r="K9" s="13">
        <f t="shared" si="2"/>
        <v>615000</v>
      </c>
      <c r="L9" s="14">
        <f t="shared" si="3"/>
        <v>0.21951219512195122</v>
      </c>
      <c r="M9" s="12">
        <f t="shared" si="0"/>
        <v>480000</v>
      </c>
      <c r="N9" s="13">
        <f t="shared" si="4"/>
        <v>135000</v>
      </c>
      <c r="P9" s="4">
        <v>1.1499999999999999</v>
      </c>
      <c r="Q9" s="8">
        <v>6530340</v>
      </c>
    </row>
    <row r="10" spans="1:21" ht="15.75" customHeight="1" x14ac:dyDescent="0.3">
      <c r="A10" s="5">
        <v>45975</v>
      </c>
      <c r="B10" s="6">
        <v>45932</v>
      </c>
      <c r="C10" s="1" t="s">
        <v>17</v>
      </c>
      <c r="D10" s="1" t="s">
        <v>8</v>
      </c>
      <c r="E10" s="1">
        <v>5660</v>
      </c>
      <c r="F10" s="12">
        <v>79</v>
      </c>
      <c r="G10" s="12">
        <v>13</v>
      </c>
      <c r="H10" s="12">
        <f t="shared" si="1"/>
        <v>73580</v>
      </c>
      <c r="I10" s="2">
        <v>118</v>
      </c>
      <c r="J10" s="1" t="s">
        <v>9</v>
      </c>
      <c r="K10" s="13">
        <f t="shared" si="2"/>
        <v>667880</v>
      </c>
      <c r="L10" s="14">
        <f t="shared" si="3"/>
        <v>0.33050847457627119</v>
      </c>
      <c r="M10" s="12">
        <f t="shared" si="0"/>
        <v>447140</v>
      </c>
      <c r="N10" s="13">
        <f t="shared" si="4"/>
        <v>220740</v>
      </c>
      <c r="P10" s="4">
        <v>1.2</v>
      </c>
      <c r="Q10" s="8">
        <v>6579540</v>
      </c>
    </row>
    <row r="11" spans="1:21" ht="15.75" customHeight="1" x14ac:dyDescent="0.3">
      <c r="A11" s="11" t="s">
        <v>45</v>
      </c>
      <c r="B11" s="11" t="s">
        <v>46</v>
      </c>
      <c r="C11" s="11" t="s">
        <v>47</v>
      </c>
      <c r="D11" s="12" t="s">
        <v>66</v>
      </c>
      <c r="E11" s="11">
        <v>8000</v>
      </c>
      <c r="F11" s="11">
        <v>55</v>
      </c>
      <c r="G11" s="11">
        <v>6</v>
      </c>
      <c r="H11" s="12">
        <f t="shared" si="1"/>
        <v>48000</v>
      </c>
      <c r="I11" s="11">
        <v>76</v>
      </c>
      <c r="J11" s="11" t="s">
        <v>46</v>
      </c>
      <c r="K11" s="13">
        <f t="shared" si="2"/>
        <v>608000</v>
      </c>
      <c r="L11" s="14">
        <f t="shared" si="3"/>
        <v>0.27631578947368424</v>
      </c>
      <c r="M11" s="12">
        <f t="shared" si="0"/>
        <v>440000</v>
      </c>
      <c r="N11" s="13">
        <f t="shared" si="4"/>
        <v>168000</v>
      </c>
      <c r="P11" s="4">
        <v>1.25</v>
      </c>
      <c r="Q11" s="8">
        <v>6628740</v>
      </c>
    </row>
    <row r="12" spans="1:21" ht="18" customHeight="1" x14ac:dyDescent="0.3">
      <c r="A12" s="11" t="s">
        <v>48</v>
      </c>
      <c r="B12" s="11" t="s">
        <v>30</v>
      </c>
      <c r="C12" s="11" t="s">
        <v>31</v>
      </c>
      <c r="D12" s="11" t="s">
        <v>77</v>
      </c>
      <c r="E12" s="11">
        <v>5600</v>
      </c>
      <c r="F12" s="11">
        <v>77</v>
      </c>
      <c r="G12" s="11">
        <v>11</v>
      </c>
      <c r="H12" s="12">
        <f t="shared" si="1"/>
        <v>61600</v>
      </c>
      <c r="I12" s="11">
        <v>99</v>
      </c>
      <c r="J12" s="11" t="s">
        <v>30</v>
      </c>
      <c r="K12" s="13">
        <f t="shared" si="2"/>
        <v>554400</v>
      </c>
      <c r="L12" s="14">
        <f t="shared" si="3"/>
        <v>0.22222222222222221</v>
      </c>
      <c r="M12" s="12">
        <f t="shared" si="0"/>
        <v>431200</v>
      </c>
      <c r="N12" s="13">
        <f t="shared" si="4"/>
        <v>123200</v>
      </c>
      <c r="P12" s="4">
        <v>1.3</v>
      </c>
      <c r="Q12" s="8">
        <v>6677940</v>
      </c>
    </row>
    <row r="13" spans="1:21" ht="15.75" customHeight="1" x14ac:dyDescent="0.3">
      <c r="A13" s="11" t="s">
        <v>49</v>
      </c>
      <c r="B13" s="11" t="s">
        <v>34</v>
      </c>
      <c r="C13" s="11" t="s">
        <v>35</v>
      </c>
      <c r="D13" s="11" t="s">
        <v>67</v>
      </c>
      <c r="E13" s="11">
        <v>18000</v>
      </c>
      <c r="F13" s="11">
        <v>72</v>
      </c>
      <c r="G13" s="11">
        <v>6</v>
      </c>
      <c r="H13" s="12">
        <f t="shared" si="1"/>
        <v>108000</v>
      </c>
      <c r="I13" s="11">
        <v>92</v>
      </c>
      <c r="J13" s="11" t="s">
        <v>34</v>
      </c>
      <c r="K13" s="13">
        <f t="shared" si="2"/>
        <v>1656000</v>
      </c>
      <c r="L13" s="14">
        <f t="shared" si="3"/>
        <v>0.21739130434782608</v>
      </c>
      <c r="M13" s="12">
        <f t="shared" si="0"/>
        <v>1296000</v>
      </c>
      <c r="N13" s="13">
        <f t="shared" si="4"/>
        <v>360000</v>
      </c>
      <c r="P13" s="4">
        <v>1.35</v>
      </c>
      <c r="Q13" s="8">
        <v>6727140</v>
      </c>
    </row>
    <row r="14" spans="1:21" ht="16.2" customHeight="1" x14ac:dyDescent="0.3">
      <c r="A14" s="11" t="s">
        <v>49</v>
      </c>
      <c r="B14" s="11" t="s">
        <v>27</v>
      </c>
      <c r="C14" s="11" t="s">
        <v>51</v>
      </c>
      <c r="D14" s="11" t="s">
        <v>68</v>
      </c>
      <c r="E14" s="11">
        <v>14000</v>
      </c>
      <c r="F14" s="11">
        <v>46</v>
      </c>
      <c r="G14" s="11">
        <v>10</v>
      </c>
      <c r="H14" s="12">
        <f t="shared" si="1"/>
        <v>140000</v>
      </c>
      <c r="I14" s="11">
        <v>64</v>
      </c>
      <c r="J14" s="11" t="s">
        <v>27</v>
      </c>
      <c r="K14" s="13">
        <f t="shared" si="2"/>
        <v>896000</v>
      </c>
      <c r="L14" s="14">
        <f t="shared" si="3"/>
        <v>0.28125</v>
      </c>
      <c r="M14" s="12">
        <f t="shared" si="0"/>
        <v>644000</v>
      </c>
      <c r="N14" s="13">
        <f t="shared" si="4"/>
        <v>252000</v>
      </c>
    </row>
    <row r="15" spans="1:21" ht="15.75" customHeight="1" x14ac:dyDescent="0.3">
      <c r="A15" s="11" t="s">
        <v>52</v>
      </c>
      <c r="B15" s="11" t="s">
        <v>53</v>
      </c>
      <c r="C15" s="11" t="s">
        <v>38</v>
      </c>
      <c r="D15" s="11" t="s">
        <v>69</v>
      </c>
      <c r="E15" s="11">
        <v>11000</v>
      </c>
      <c r="F15" s="11">
        <v>45</v>
      </c>
      <c r="G15" s="11">
        <v>8</v>
      </c>
      <c r="H15" s="12">
        <f t="shared" si="1"/>
        <v>88000</v>
      </c>
      <c r="I15" s="11">
        <v>65</v>
      </c>
      <c r="J15" s="11" t="s">
        <v>53</v>
      </c>
      <c r="K15" s="13">
        <f t="shared" si="2"/>
        <v>715000</v>
      </c>
      <c r="L15" s="14">
        <f t="shared" si="3"/>
        <v>0.30769230769230771</v>
      </c>
      <c r="M15" s="12">
        <f t="shared" si="0"/>
        <v>495000</v>
      </c>
      <c r="N15" s="13">
        <f t="shared" si="4"/>
        <v>220000</v>
      </c>
    </row>
    <row r="16" spans="1:21" ht="15.6" customHeight="1" x14ac:dyDescent="0.3">
      <c r="A16" s="11" t="s">
        <v>54</v>
      </c>
      <c r="B16" s="11" t="s">
        <v>55</v>
      </c>
      <c r="C16" s="11" t="s">
        <v>35</v>
      </c>
      <c r="D16" s="11" t="s">
        <v>78</v>
      </c>
      <c r="E16" s="11">
        <v>15000</v>
      </c>
      <c r="F16" s="11">
        <v>77</v>
      </c>
      <c r="G16" s="11">
        <v>7</v>
      </c>
      <c r="H16" s="12">
        <f t="shared" si="1"/>
        <v>105000</v>
      </c>
      <c r="I16" s="11">
        <v>101</v>
      </c>
      <c r="J16" s="11" t="s">
        <v>55</v>
      </c>
      <c r="K16" s="13">
        <f t="shared" si="2"/>
        <v>1515000</v>
      </c>
      <c r="L16" s="14">
        <f t="shared" si="3"/>
        <v>0.23762376237623761</v>
      </c>
      <c r="M16" s="12">
        <f t="shared" si="0"/>
        <v>1155000</v>
      </c>
      <c r="N16" s="13">
        <f t="shared" si="4"/>
        <v>360000</v>
      </c>
    </row>
    <row r="17" spans="1:17" ht="15.75" customHeight="1" x14ac:dyDescent="0.3">
      <c r="A17" s="11" t="s">
        <v>27</v>
      </c>
      <c r="B17" s="11" t="s">
        <v>28</v>
      </c>
      <c r="C17" s="11" t="s">
        <v>29</v>
      </c>
      <c r="D17" s="11" t="s">
        <v>50</v>
      </c>
      <c r="E17" s="11">
        <v>6500</v>
      </c>
      <c r="F17" s="11">
        <v>58</v>
      </c>
      <c r="G17" s="11">
        <v>11</v>
      </c>
      <c r="H17" s="12">
        <f t="shared" si="1"/>
        <v>71500</v>
      </c>
      <c r="I17" s="11">
        <v>85</v>
      </c>
      <c r="J17" s="11" t="s">
        <v>28</v>
      </c>
      <c r="K17" s="13">
        <f t="shared" si="2"/>
        <v>552500</v>
      </c>
      <c r="L17" s="14">
        <f t="shared" si="3"/>
        <v>0.31764705882352939</v>
      </c>
      <c r="M17" s="12">
        <f t="shared" si="0"/>
        <v>377000</v>
      </c>
      <c r="N17" s="13">
        <f t="shared" si="4"/>
        <v>175500</v>
      </c>
    </row>
    <row r="18" spans="1:17" ht="15" customHeight="1" x14ac:dyDescent="0.3">
      <c r="A18" s="11" t="s">
        <v>27</v>
      </c>
      <c r="B18" s="11" t="s">
        <v>30</v>
      </c>
      <c r="C18" s="11" t="s">
        <v>31</v>
      </c>
      <c r="D18" s="11" t="s">
        <v>79</v>
      </c>
      <c r="E18" s="11">
        <v>10800</v>
      </c>
      <c r="F18" s="11">
        <v>30</v>
      </c>
      <c r="G18" s="11">
        <v>14</v>
      </c>
      <c r="H18" s="12">
        <f t="shared" si="1"/>
        <v>151200</v>
      </c>
      <c r="I18" s="11">
        <v>40</v>
      </c>
      <c r="J18" s="11" t="s">
        <v>30</v>
      </c>
      <c r="K18" s="13">
        <f t="shared" si="2"/>
        <v>432000</v>
      </c>
      <c r="L18" s="14">
        <f t="shared" si="3"/>
        <v>0.25</v>
      </c>
      <c r="M18" s="12">
        <f t="shared" si="0"/>
        <v>324000</v>
      </c>
      <c r="N18" s="13">
        <f t="shared" si="4"/>
        <v>108000</v>
      </c>
    </row>
    <row r="19" spans="1:17" ht="17.399999999999999" customHeight="1" x14ac:dyDescent="0.3">
      <c r="A19" s="11" t="s">
        <v>33</v>
      </c>
      <c r="B19" s="11" t="s">
        <v>34</v>
      </c>
      <c r="C19" s="11" t="s">
        <v>35</v>
      </c>
      <c r="D19" s="11" t="s">
        <v>70</v>
      </c>
      <c r="E19" s="11">
        <v>14200</v>
      </c>
      <c r="F19" s="11">
        <v>31</v>
      </c>
      <c r="G19" s="11">
        <v>10</v>
      </c>
      <c r="H19" s="12">
        <f t="shared" si="1"/>
        <v>142000</v>
      </c>
      <c r="I19" s="11">
        <v>45</v>
      </c>
      <c r="J19" s="11" t="s">
        <v>34</v>
      </c>
      <c r="K19" s="13">
        <f t="shared" si="2"/>
        <v>639000</v>
      </c>
      <c r="L19" s="14">
        <f t="shared" si="3"/>
        <v>0.31111111111111112</v>
      </c>
      <c r="M19" s="12">
        <f t="shared" si="0"/>
        <v>440200</v>
      </c>
      <c r="N19" s="13">
        <f t="shared" si="4"/>
        <v>198800</v>
      </c>
      <c r="P19" s="24" t="s">
        <v>100</v>
      </c>
      <c r="Q19" s="24"/>
    </row>
    <row r="20" spans="1:17" ht="15.75" customHeight="1" x14ac:dyDescent="0.3">
      <c r="A20" s="11" t="s">
        <v>36</v>
      </c>
      <c r="B20" s="11" t="s">
        <v>37</v>
      </c>
      <c r="C20" s="11" t="s">
        <v>38</v>
      </c>
      <c r="D20" s="11" t="s">
        <v>71</v>
      </c>
      <c r="E20" s="11">
        <v>5000</v>
      </c>
      <c r="F20" s="11">
        <v>36</v>
      </c>
      <c r="G20" s="11">
        <v>12</v>
      </c>
      <c r="H20" s="12">
        <f t="shared" si="1"/>
        <v>60000</v>
      </c>
      <c r="I20" s="11">
        <v>50</v>
      </c>
      <c r="J20" s="11" t="s">
        <v>37</v>
      </c>
      <c r="K20" s="13">
        <f t="shared" si="2"/>
        <v>250000</v>
      </c>
      <c r="L20" s="14">
        <f t="shared" si="3"/>
        <v>0.28000000000000003</v>
      </c>
      <c r="M20" s="12">
        <f t="shared" si="0"/>
        <v>180000</v>
      </c>
      <c r="N20" s="13">
        <f t="shared" si="4"/>
        <v>70000</v>
      </c>
      <c r="P20" s="24"/>
      <c r="Q20" s="24"/>
    </row>
    <row r="21" spans="1:17" ht="15.75" customHeight="1" x14ac:dyDescent="0.3">
      <c r="A21" s="11" t="s">
        <v>36</v>
      </c>
      <c r="B21" s="11" t="s">
        <v>39</v>
      </c>
      <c r="C21" s="11" t="s">
        <v>40</v>
      </c>
      <c r="D21" s="11" t="s">
        <v>80</v>
      </c>
      <c r="E21" s="11">
        <v>9000</v>
      </c>
      <c r="F21" s="11">
        <v>69</v>
      </c>
      <c r="G21" s="11">
        <v>11</v>
      </c>
      <c r="H21" s="12">
        <f t="shared" si="1"/>
        <v>99000</v>
      </c>
      <c r="I21" s="11">
        <v>97</v>
      </c>
      <c r="J21" s="11" t="s">
        <v>39</v>
      </c>
      <c r="K21" s="13">
        <f t="shared" si="2"/>
        <v>873000</v>
      </c>
      <c r="L21" s="14">
        <f t="shared" si="3"/>
        <v>0.28865979381443296</v>
      </c>
      <c r="M21" s="12">
        <f t="shared" si="0"/>
        <v>621000</v>
      </c>
      <c r="N21" s="13">
        <f t="shared" si="4"/>
        <v>252000</v>
      </c>
      <c r="P21" s="24"/>
      <c r="Q21" s="24"/>
    </row>
    <row r="22" spans="1:17" ht="16.2" customHeight="1" x14ac:dyDescent="0.3">
      <c r="A22" s="11" t="s">
        <v>42</v>
      </c>
      <c r="B22" s="11" t="s">
        <v>43</v>
      </c>
      <c r="C22" s="11" t="s">
        <v>31</v>
      </c>
      <c r="D22" s="11" t="s">
        <v>32</v>
      </c>
      <c r="E22" s="11">
        <v>6500</v>
      </c>
      <c r="F22" s="11">
        <v>59</v>
      </c>
      <c r="G22" s="11">
        <v>8</v>
      </c>
      <c r="H22" s="12">
        <f t="shared" si="1"/>
        <v>52000</v>
      </c>
      <c r="I22" s="11">
        <v>76</v>
      </c>
      <c r="J22" s="11" t="s">
        <v>43</v>
      </c>
      <c r="K22" s="13">
        <f t="shared" si="2"/>
        <v>494000</v>
      </c>
      <c r="L22" s="14">
        <f t="shared" si="3"/>
        <v>0.22368421052631579</v>
      </c>
      <c r="M22" s="12">
        <f t="shared" si="0"/>
        <v>383500</v>
      </c>
      <c r="N22" s="13">
        <f t="shared" si="4"/>
        <v>110500</v>
      </c>
      <c r="P22"/>
      <c r="Q22"/>
    </row>
    <row r="23" spans="1:17" ht="15.75" customHeight="1" x14ac:dyDescent="0.3">
      <c r="A23" s="11" t="s">
        <v>56</v>
      </c>
      <c r="B23" s="11" t="s">
        <v>57</v>
      </c>
      <c r="C23" s="11" t="s">
        <v>40</v>
      </c>
      <c r="D23" s="11" t="s">
        <v>72</v>
      </c>
      <c r="E23" s="11">
        <v>5000</v>
      </c>
      <c r="F23" s="11">
        <v>41</v>
      </c>
      <c r="G23" s="11">
        <v>10</v>
      </c>
      <c r="H23" s="12">
        <f t="shared" si="1"/>
        <v>50000</v>
      </c>
      <c r="I23" s="11">
        <v>59</v>
      </c>
      <c r="J23" s="11" t="s">
        <v>57</v>
      </c>
      <c r="K23" s="13">
        <f t="shared" si="2"/>
        <v>295000</v>
      </c>
      <c r="L23" s="14">
        <f t="shared" si="3"/>
        <v>0.30508474576271188</v>
      </c>
      <c r="M23" s="12">
        <f t="shared" si="0"/>
        <v>205000</v>
      </c>
      <c r="N23" s="13">
        <f t="shared" si="4"/>
        <v>90000</v>
      </c>
      <c r="P23" s="15" t="s">
        <v>86</v>
      </c>
      <c r="Q23">
        <v>212758</v>
      </c>
    </row>
    <row r="24" spans="1:17" ht="15.75" customHeight="1" x14ac:dyDescent="0.3">
      <c r="A24" s="11" t="s">
        <v>42</v>
      </c>
      <c r="B24" s="11" t="s">
        <v>55</v>
      </c>
      <c r="C24" s="11" t="s">
        <v>40</v>
      </c>
      <c r="D24" s="11" t="s">
        <v>81</v>
      </c>
      <c r="E24" s="11">
        <v>14200</v>
      </c>
      <c r="F24" s="11">
        <v>73</v>
      </c>
      <c r="G24" s="11">
        <v>10</v>
      </c>
      <c r="H24" s="12">
        <f t="shared" si="1"/>
        <v>142000</v>
      </c>
      <c r="I24" s="11">
        <v>97</v>
      </c>
      <c r="J24" s="11" t="s">
        <v>55</v>
      </c>
      <c r="K24" s="13">
        <f t="shared" si="2"/>
        <v>1377400</v>
      </c>
      <c r="L24" s="14">
        <f t="shared" si="3"/>
        <v>0.24742268041237114</v>
      </c>
      <c r="M24" s="12">
        <f t="shared" si="0"/>
        <v>1036600</v>
      </c>
      <c r="N24" s="13">
        <f t="shared" si="4"/>
        <v>340800</v>
      </c>
      <c r="P24" s="15" t="s">
        <v>87</v>
      </c>
      <c r="Q24">
        <v>21903.367470065776</v>
      </c>
    </row>
    <row r="25" spans="1:17" ht="17.399999999999999" customHeight="1" x14ac:dyDescent="0.3">
      <c r="A25" s="11" t="s">
        <v>54</v>
      </c>
      <c r="B25" s="11" t="s">
        <v>58</v>
      </c>
      <c r="C25" s="11" t="s">
        <v>29</v>
      </c>
      <c r="D25" s="11" t="s">
        <v>41</v>
      </c>
      <c r="E25" s="11">
        <v>12000</v>
      </c>
      <c r="F25" s="11">
        <v>42</v>
      </c>
      <c r="G25" s="11">
        <v>7</v>
      </c>
      <c r="H25" s="12">
        <f t="shared" si="1"/>
        <v>84000</v>
      </c>
      <c r="I25" s="11">
        <v>54</v>
      </c>
      <c r="J25" s="11" t="s">
        <v>58</v>
      </c>
      <c r="K25" s="13">
        <f t="shared" si="2"/>
        <v>648000</v>
      </c>
      <c r="L25" s="14">
        <f t="shared" si="3"/>
        <v>0.22222222222222221</v>
      </c>
      <c r="M25" s="12">
        <f t="shared" si="0"/>
        <v>504000</v>
      </c>
      <c r="N25" s="13">
        <f t="shared" si="4"/>
        <v>144000</v>
      </c>
      <c r="P25" s="15" t="s">
        <v>88</v>
      </c>
      <c r="Q25">
        <v>187400</v>
      </c>
    </row>
    <row r="26" spans="1:17" ht="15.75" customHeight="1" x14ac:dyDescent="0.3">
      <c r="A26" s="11" t="s">
        <v>56</v>
      </c>
      <c r="B26" s="11" t="s">
        <v>46</v>
      </c>
      <c r="C26" s="11" t="s">
        <v>35</v>
      </c>
      <c r="D26" s="11" t="s">
        <v>44</v>
      </c>
      <c r="E26" s="11">
        <v>6000</v>
      </c>
      <c r="F26" s="11">
        <v>62</v>
      </c>
      <c r="G26" s="11">
        <v>6</v>
      </c>
      <c r="H26" s="12">
        <f t="shared" si="1"/>
        <v>36000</v>
      </c>
      <c r="I26" s="11">
        <v>82</v>
      </c>
      <c r="J26" s="11" t="s">
        <v>46</v>
      </c>
      <c r="K26" s="13">
        <f t="shared" si="2"/>
        <v>492000</v>
      </c>
      <c r="L26" s="14">
        <f t="shared" si="3"/>
        <v>0.24390243902439024</v>
      </c>
      <c r="M26" s="12">
        <f t="shared" si="0"/>
        <v>372000</v>
      </c>
      <c r="N26" s="13">
        <f t="shared" si="4"/>
        <v>120000</v>
      </c>
      <c r="P26" s="15" t="s">
        <v>89</v>
      </c>
      <c r="Q26">
        <v>360000</v>
      </c>
    </row>
    <row r="27" spans="1:17" ht="15.75" customHeight="1" x14ac:dyDescent="0.3">
      <c r="A27" s="11" t="s">
        <v>33</v>
      </c>
      <c r="B27" s="11" t="s">
        <v>53</v>
      </c>
      <c r="C27" s="11" t="s">
        <v>51</v>
      </c>
      <c r="D27" s="11" t="s">
        <v>73</v>
      </c>
      <c r="E27" s="11">
        <v>17000</v>
      </c>
      <c r="F27" s="11">
        <v>43</v>
      </c>
      <c r="G27" s="11">
        <v>13</v>
      </c>
      <c r="H27" s="12">
        <f t="shared" si="1"/>
        <v>221000</v>
      </c>
      <c r="I27" s="11">
        <v>58</v>
      </c>
      <c r="J27" s="11" t="s">
        <v>53</v>
      </c>
      <c r="K27" s="13">
        <f t="shared" si="2"/>
        <v>986000</v>
      </c>
      <c r="L27" s="14">
        <f t="shared" si="3"/>
        <v>0.25862068965517243</v>
      </c>
      <c r="M27" s="12">
        <f t="shared" si="0"/>
        <v>731000</v>
      </c>
      <c r="N27" s="13">
        <f t="shared" si="4"/>
        <v>255000</v>
      </c>
      <c r="P27" s="15" t="s">
        <v>90</v>
      </c>
      <c r="Q27">
        <v>119969.68448679887</v>
      </c>
    </row>
    <row r="28" spans="1:17" ht="15.75" customHeight="1" x14ac:dyDescent="0.3">
      <c r="A28" s="11" t="s">
        <v>60</v>
      </c>
      <c r="B28" s="11" t="s">
        <v>61</v>
      </c>
      <c r="C28" s="11" t="s">
        <v>38</v>
      </c>
      <c r="D28" s="11" t="s">
        <v>74</v>
      </c>
      <c r="E28" s="11">
        <v>14000</v>
      </c>
      <c r="F28" s="11">
        <v>72</v>
      </c>
      <c r="G28" s="11">
        <v>10</v>
      </c>
      <c r="H28" s="12">
        <f t="shared" si="1"/>
        <v>140000</v>
      </c>
      <c r="I28" s="11">
        <v>105</v>
      </c>
      <c r="J28" s="11" t="s">
        <v>61</v>
      </c>
      <c r="K28" s="13">
        <f t="shared" si="2"/>
        <v>1470000</v>
      </c>
      <c r="L28" s="14">
        <f t="shared" si="3"/>
        <v>0.31428571428571428</v>
      </c>
      <c r="M28" s="12">
        <f t="shared" si="0"/>
        <v>1008000</v>
      </c>
      <c r="N28" s="13">
        <f t="shared" si="4"/>
        <v>462000</v>
      </c>
      <c r="P28" s="15" t="s">
        <v>91</v>
      </c>
      <c r="Q28">
        <v>14392725195.862068</v>
      </c>
    </row>
    <row r="29" spans="1:17" ht="15.75" customHeight="1" x14ac:dyDescent="0.3">
      <c r="A29" s="11" t="s">
        <v>45</v>
      </c>
      <c r="B29" s="11" t="s">
        <v>57</v>
      </c>
      <c r="C29" s="11" t="s">
        <v>29</v>
      </c>
      <c r="D29" s="11" t="s">
        <v>82</v>
      </c>
      <c r="E29" s="11">
        <v>15000</v>
      </c>
      <c r="F29" s="11">
        <v>64</v>
      </c>
      <c r="G29" s="11">
        <v>14</v>
      </c>
      <c r="H29" s="12">
        <f t="shared" si="1"/>
        <v>210000</v>
      </c>
      <c r="I29" s="11">
        <v>89</v>
      </c>
      <c r="J29" s="11" t="s">
        <v>57</v>
      </c>
      <c r="K29" s="13">
        <f t="shared" si="2"/>
        <v>1335000</v>
      </c>
      <c r="L29" s="14">
        <f t="shared" si="3"/>
        <v>0.2808988764044944</v>
      </c>
      <c r="M29" s="12">
        <f t="shared" si="0"/>
        <v>960000</v>
      </c>
      <c r="N29" s="13">
        <f t="shared" si="4"/>
        <v>375000</v>
      </c>
      <c r="P29" s="15" t="s">
        <v>92</v>
      </c>
      <c r="Q29">
        <v>0.26603425790084945</v>
      </c>
    </row>
    <row r="30" spans="1:17" ht="15.75" customHeight="1" x14ac:dyDescent="0.3">
      <c r="A30" s="11" t="s">
        <v>42</v>
      </c>
      <c r="B30" s="11" t="s">
        <v>62</v>
      </c>
      <c r="C30" s="11" t="s">
        <v>40</v>
      </c>
      <c r="D30" s="11" t="s">
        <v>59</v>
      </c>
      <c r="E30" s="11">
        <v>6100</v>
      </c>
      <c r="F30" s="11">
        <v>38</v>
      </c>
      <c r="G30" s="11">
        <v>9</v>
      </c>
      <c r="H30" s="12">
        <f t="shared" si="1"/>
        <v>54900</v>
      </c>
      <c r="I30" s="11">
        <v>55</v>
      </c>
      <c r="J30" s="11" t="s">
        <v>62</v>
      </c>
      <c r="K30" s="13">
        <f t="shared" si="2"/>
        <v>335500</v>
      </c>
      <c r="L30" s="14">
        <f t="shared" si="3"/>
        <v>0.30909090909090908</v>
      </c>
      <c r="M30" s="12">
        <f t="shared" si="0"/>
        <v>231800</v>
      </c>
      <c r="N30" s="13">
        <f t="shared" si="4"/>
        <v>103700</v>
      </c>
      <c r="P30" s="15" t="s">
        <v>93</v>
      </c>
      <c r="Q30">
        <v>0.8626480390880964</v>
      </c>
    </row>
    <row r="31" spans="1:17" ht="15.75" customHeight="1" x14ac:dyDescent="0.3">
      <c r="A31" s="11" t="s">
        <v>63</v>
      </c>
      <c r="B31" s="11" t="s">
        <v>55</v>
      </c>
      <c r="C31" s="11" t="s">
        <v>47</v>
      </c>
      <c r="D31" s="11" t="s">
        <v>83</v>
      </c>
      <c r="E31" s="11">
        <v>8200</v>
      </c>
      <c r="F31" s="11">
        <v>39</v>
      </c>
      <c r="G31" s="11">
        <v>6</v>
      </c>
      <c r="H31" s="12">
        <f t="shared" si="1"/>
        <v>49200</v>
      </c>
      <c r="I31" s="11">
        <v>54</v>
      </c>
      <c r="J31" s="11" t="s">
        <v>55</v>
      </c>
      <c r="K31" s="13">
        <f t="shared" si="2"/>
        <v>442800</v>
      </c>
      <c r="L31" s="14">
        <f t="shared" si="3"/>
        <v>0.27777777777777779</v>
      </c>
      <c r="M31" s="12">
        <f t="shared" si="0"/>
        <v>319800</v>
      </c>
      <c r="N31" s="13">
        <f t="shared" si="4"/>
        <v>123000</v>
      </c>
      <c r="P31" s="15" t="s">
        <v>94</v>
      </c>
      <c r="Q31">
        <v>467600</v>
      </c>
    </row>
    <row r="32" spans="1:17" ht="15.75" customHeight="1" x14ac:dyDescent="0.3">
      <c r="A32" s="11" t="s">
        <v>54</v>
      </c>
      <c r="B32" s="11" t="s">
        <v>46</v>
      </c>
      <c r="C32" s="11" t="s">
        <v>47</v>
      </c>
      <c r="D32" s="11" t="s">
        <v>75</v>
      </c>
      <c r="E32" s="11">
        <v>17000</v>
      </c>
      <c r="F32" s="11">
        <v>51</v>
      </c>
      <c r="G32" s="11">
        <v>10</v>
      </c>
      <c r="H32" s="12">
        <f t="shared" si="1"/>
        <v>170000</v>
      </c>
      <c r="I32" s="11">
        <v>65</v>
      </c>
      <c r="J32" s="11" t="s">
        <v>46</v>
      </c>
      <c r="K32" s="13">
        <f t="shared" si="2"/>
        <v>1105000</v>
      </c>
      <c r="L32" s="14">
        <f t="shared" si="3"/>
        <v>0.2153846153846154</v>
      </c>
      <c r="M32" s="12">
        <f t="shared" si="0"/>
        <v>867000</v>
      </c>
      <c r="N32" s="13">
        <f t="shared" si="4"/>
        <v>238000</v>
      </c>
      <c r="P32" s="15" t="s">
        <v>95</v>
      </c>
      <c r="Q32">
        <v>56000</v>
      </c>
    </row>
    <row r="33" spans="1:17" ht="15.75" customHeight="1" x14ac:dyDescent="0.3">
      <c r="A33" s="11" t="s">
        <v>45</v>
      </c>
      <c r="B33" s="11" t="s">
        <v>27</v>
      </c>
      <c r="C33" s="11" t="s">
        <v>40</v>
      </c>
      <c r="D33" s="11" t="s">
        <v>84</v>
      </c>
      <c r="E33" s="11">
        <v>15400</v>
      </c>
      <c r="F33" s="11">
        <v>80</v>
      </c>
      <c r="G33" s="11">
        <v>13</v>
      </c>
      <c r="H33" s="12">
        <f t="shared" si="1"/>
        <v>200200</v>
      </c>
      <c r="I33" s="11">
        <v>114</v>
      </c>
      <c r="J33" s="11" t="s">
        <v>27</v>
      </c>
      <c r="K33" s="13">
        <f t="shared" si="2"/>
        <v>1755600</v>
      </c>
      <c r="L33" s="14">
        <f t="shared" si="3"/>
        <v>0.2982456140350877</v>
      </c>
      <c r="M33" s="12">
        <f t="shared" si="0"/>
        <v>1232000</v>
      </c>
      <c r="N33" s="13">
        <f t="shared" si="4"/>
        <v>523600</v>
      </c>
      <c r="P33" s="15" t="s">
        <v>96</v>
      </c>
      <c r="Q33">
        <v>523600</v>
      </c>
    </row>
    <row r="34" spans="1:17" ht="15.75" customHeight="1" x14ac:dyDescent="0.3">
      <c r="A34" s="11" t="s">
        <v>64</v>
      </c>
      <c r="B34" s="11" t="s">
        <v>58</v>
      </c>
      <c r="C34" s="11" t="s">
        <v>38</v>
      </c>
      <c r="D34" s="11" t="s">
        <v>65</v>
      </c>
      <c r="E34" s="11">
        <v>8000</v>
      </c>
      <c r="F34" s="11">
        <v>68</v>
      </c>
      <c r="G34" s="11">
        <v>12</v>
      </c>
      <c r="H34" s="12">
        <f t="shared" si="1"/>
        <v>96000</v>
      </c>
      <c r="I34" s="11">
        <v>90</v>
      </c>
      <c r="J34" s="11" t="s">
        <v>58</v>
      </c>
      <c r="K34" s="13">
        <f t="shared" si="2"/>
        <v>720000</v>
      </c>
      <c r="L34" s="14">
        <f t="shared" si="3"/>
        <v>0.24444444444444444</v>
      </c>
      <c r="M34" s="12">
        <f t="shared" si="0"/>
        <v>544000</v>
      </c>
      <c r="N34" s="13">
        <f t="shared" si="4"/>
        <v>176000</v>
      </c>
      <c r="P34" s="15" t="s">
        <v>97</v>
      </c>
      <c r="Q34">
        <v>6382740</v>
      </c>
    </row>
    <row r="35" spans="1:17" ht="15.75" customHeight="1" thickBot="1" x14ac:dyDescent="0.35">
      <c r="A35" s="10"/>
      <c r="P35" s="15" t="s">
        <v>98</v>
      </c>
      <c r="Q35">
        <v>30</v>
      </c>
    </row>
    <row r="36" spans="1:17" ht="15.75" customHeight="1" x14ac:dyDescent="0.3">
      <c r="A36" s="25" t="s">
        <v>101</v>
      </c>
      <c r="B36" s="26"/>
      <c r="P36" s="15" t="s">
        <v>99</v>
      </c>
      <c r="Q36">
        <v>44797.416412303726</v>
      </c>
    </row>
    <row r="37" spans="1:17" ht="15.75" customHeight="1" x14ac:dyDescent="0.3">
      <c r="A37" s="16"/>
      <c r="B37" s="17"/>
    </row>
    <row r="38" spans="1:17" ht="15.75" customHeight="1" x14ac:dyDescent="0.3">
      <c r="A38" s="18" t="s">
        <v>19</v>
      </c>
      <c r="B38" s="19">
        <f>SUM(K5:K34)</f>
        <v>24255330</v>
      </c>
    </row>
    <row r="39" spans="1:17" ht="15.75" customHeight="1" x14ac:dyDescent="0.3">
      <c r="A39" s="20"/>
      <c r="B39" s="19"/>
    </row>
    <row r="40" spans="1:17" ht="15.75" customHeight="1" x14ac:dyDescent="0.3">
      <c r="A40" s="18" t="s">
        <v>26</v>
      </c>
      <c r="B40" s="19">
        <f>SUM(H5:H34)</f>
        <v>3114230</v>
      </c>
    </row>
    <row r="41" spans="1:17" ht="15.75" customHeight="1" x14ac:dyDescent="0.3">
      <c r="A41" s="20"/>
      <c r="B41" s="19"/>
      <c r="F41" s="8"/>
    </row>
    <row r="42" spans="1:17" ht="15.75" customHeight="1" thickBot="1" x14ac:dyDescent="0.35">
      <c r="A42" s="21" t="s">
        <v>21</v>
      </c>
      <c r="B42" s="22">
        <f>SUM(N5:N34)</f>
        <v>6382740</v>
      </c>
    </row>
    <row r="141" spans="16:16" ht="15.75" customHeight="1" x14ac:dyDescent="0.3">
      <c r="P141" s="8" t="s">
        <v>85</v>
      </c>
    </row>
    <row r="142" spans="16:16" ht="15.75" customHeight="1" x14ac:dyDescent="0.3">
      <c r="P142" s="3">
        <v>1</v>
      </c>
    </row>
  </sheetData>
  <scenarios current="1" sqref="E43">
    <scenario name="Solver" count="6" user="Jai" comment="Created by Jai on 12/9/2025">
      <inputCells r="I5" val="140" numFmtId="1"/>
      <inputCells r="I6" val="140" numFmtId="1"/>
      <inputCells r="I7" val="140" numFmtId="1"/>
      <inputCells r="I8" val="140" numFmtId="1"/>
      <inputCells r="I9" val="140" numFmtId="1"/>
      <inputCells r="I10" val="140" numFmtId="1"/>
    </scenario>
    <scenario name="MAX" locked="1" count="30" user="Jai" comment="Created by Jai on 16-12-2025_x000a_Modified by Jai on 16-12-2025">
      <inputCells r="I5" val="0" numFmtId="1"/>
      <inputCells r="I6" val="0" numFmtId="1"/>
      <inputCells r="I7" val="0" numFmtId="1"/>
      <inputCells r="I8" val="0" numFmtId="1"/>
      <inputCells r="I9" val="0" numFmtId="1"/>
      <inputCells r="I10" val="0" numFmtId="1"/>
      <inputCells r="I11" val="0"/>
      <inputCells r="I12" val="0"/>
      <inputCells r="I13" val="0"/>
      <inputCells r="I14" val="0"/>
      <inputCells r="I15" val="0"/>
      <inputCells r="I16" val="0"/>
      <inputCells r="I17" val="0"/>
      <inputCells r="I18" val="0"/>
      <inputCells r="I19" val="0"/>
      <inputCells r="I20" val="0"/>
      <inputCells r="I21" val="0"/>
      <inputCells r="I22" val="0"/>
      <inputCells r="I23" val="0"/>
      <inputCells r="I24" val="0"/>
      <inputCells r="I25" val="0"/>
      <inputCells r="I26" val="0"/>
      <inputCells r="I27" val="0"/>
      <inputCells r="I28" val="0"/>
      <inputCells r="I29" val="0"/>
      <inputCells r="I30" val="55"/>
      <inputCells r="I31" val="0"/>
      <inputCells r="I32" val="0"/>
      <inputCells r="I33" val="114"/>
      <inputCells r="I34" val="90"/>
    </scenario>
  </scenarios>
  <mergeCells count="3">
    <mergeCell ref="P4:Q4"/>
    <mergeCell ref="P19:Q21"/>
    <mergeCell ref="A36:B36"/>
  </mergeCells>
  <phoneticPr fontId="3" type="noConversion"/>
  <conditionalFormatting sqref="K5:K34">
    <cfRule type="top10" dxfId="7" priority="3" rank="10"/>
    <cfRule type="top10" dxfId="6" priority="20" rank="3"/>
  </conditionalFormatting>
  <conditionalFormatting sqref="K5:L34">
    <cfRule type="top10" dxfId="5" priority="4" rank="10"/>
    <cfRule type="top10" dxfId="4" priority="5" percent="1" rank="10"/>
  </conditionalFormatting>
  <conditionalFormatting sqref="L5:L34">
    <cfRule type="top10" dxfId="3" priority="2" rank="10"/>
    <cfRule type="top10" dxfId="2" priority="21" rank="3"/>
  </conditionalFormatting>
  <conditionalFormatting sqref="N5:N34">
    <cfRule type="top10" dxfId="1" priority="1" rank="10"/>
    <cfRule type="top10" dxfId="0" priority="2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</dc:creator>
  <cp:lastModifiedBy>Jai</cp:lastModifiedBy>
  <dcterms:created xsi:type="dcterms:W3CDTF">2025-12-08T16:19:37Z</dcterms:created>
  <dcterms:modified xsi:type="dcterms:W3CDTF">2025-12-17T16:07:27Z</dcterms:modified>
</cp:coreProperties>
</file>